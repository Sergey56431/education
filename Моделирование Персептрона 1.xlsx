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6" windowWidth="22980" windowHeight="9552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L17" i="1"/>
  <c r="L16"/>
  <c r="I17"/>
  <c r="I16"/>
  <c r="I9"/>
  <c r="I8"/>
  <c r="H3"/>
  <c r="H4"/>
  <c r="H5"/>
  <c r="H6"/>
  <c r="H7"/>
  <c r="H2"/>
  <c r="E3"/>
  <c r="F3" s="1"/>
  <c r="G3" s="1"/>
  <c r="E4"/>
  <c r="F4" s="1"/>
  <c r="G4" s="1"/>
  <c r="E5"/>
  <c r="F5" s="1"/>
  <c r="G5" s="1"/>
  <c r="E6"/>
  <c r="F6" s="1"/>
  <c r="G6" s="1"/>
  <c r="E7"/>
  <c r="F7" s="1"/>
  <c r="G7" s="1"/>
  <c r="E2"/>
  <c r="F2" s="1"/>
  <c r="G2" s="1"/>
  <c r="B14"/>
</calcChain>
</file>

<file path=xl/sharedStrings.xml><?xml version="1.0" encoding="utf-8"?>
<sst xmlns="http://schemas.openxmlformats.org/spreadsheetml/2006/main" count="34" uniqueCount="21">
  <si>
    <t>Длина хвоста X1</t>
  </si>
  <si>
    <t>Длина усов X2</t>
  </si>
  <si>
    <t>Длина туловища X3</t>
  </si>
  <si>
    <t>Ответ Y</t>
  </si>
  <si>
    <t>К = 1</t>
  </si>
  <si>
    <t>С = 0</t>
  </si>
  <si>
    <t>w2</t>
  </si>
  <si>
    <t>w3</t>
  </si>
  <si>
    <t>w1 (доля, важность)</t>
  </si>
  <si>
    <t>b (смещение)</t>
  </si>
  <si>
    <t>SumW</t>
  </si>
  <si>
    <t>Z</t>
  </si>
  <si>
    <t>p</t>
  </si>
  <si>
    <t>q=1-p</t>
  </si>
  <si>
    <t>Порог L</t>
  </si>
  <si>
    <t>Y^</t>
  </si>
  <si>
    <t>Совпадения</t>
  </si>
  <si>
    <t>Accuracy</t>
  </si>
  <si>
    <t>X1</t>
  </si>
  <si>
    <t>X2</t>
  </si>
  <si>
    <t>X3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</si>
</sst>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1" fillId="3" borderId="1" xfId="0" applyFont="1" applyFill="1" applyBorder="1"/>
    <xf numFmtId="0" fontId="0" fillId="0" borderId="1" xfId="0" applyBorder="1"/>
    <xf numFmtId="0" fontId="0" fillId="0" borderId="1" xfId="0" applyFill="1" applyBorder="1"/>
    <xf numFmtId="0" fontId="0" fillId="4" borderId="1" xfId="0" applyFill="1" applyBorder="1"/>
    <xf numFmtId="0" fontId="0" fillId="5" borderId="2" xfId="0" applyFill="1" applyBorder="1"/>
    <xf numFmtId="0" fontId="0" fillId="5" borderId="0" xfId="0" applyFill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15</xdr:row>
      <xdr:rowOff>175260</xdr:rowOff>
    </xdr:from>
    <xdr:to>
      <xdr:col>7</xdr:col>
      <xdr:colOff>2054</xdr:colOff>
      <xdr:row>34</xdr:row>
      <xdr:rowOff>91440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" y="2918460"/>
          <a:ext cx="6120914" cy="33909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35</xdr:row>
      <xdr:rowOff>152400</xdr:rowOff>
    </xdr:from>
    <xdr:to>
      <xdr:col>21</xdr:col>
      <xdr:colOff>251460</xdr:colOff>
      <xdr:row>64</xdr:row>
      <xdr:rowOff>160020</xdr:rowOff>
    </xdr:to>
    <xdr:pic>
      <xdr:nvPicPr>
        <xdr:cNvPr id="1030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0" y="6553200"/>
          <a:ext cx="15240000" cy="53111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>
      <selection activeCell="G2" sqref="G2:G4"/>
    </sheetView>
  </sheetViews>
  <sheetFormatPr defaultRowHeight="14.4"/>
  <cols>
    <col min="1" max="1" width="18.33203125" customWidth="1"/>
    <col min="2" max="2" width="16.6640625" customWidth="1"/>
    <col min="3" max="3" width="18.77734375" customWidth="1"/>
    <col min="9" max="9" width="13.6640625" customWidth="1"/>
  </cols>
  <sheetData>
    <row r="1" spans="1:12">
      <c r="A1" s="1" t="s">
        <v>0</v>
      </c>
      <c r="B1" s="1" t="s">
        <v>1</v>
      </c>
      <c r="C1" s="1" t="s">
        <v>2</v>
      </c>
      <c r="D1" s="2" t="s">
        <v>3</v>
      </c>
      <c r="E1" s="5" t="s">
        <v>11</v>
      </c>
      <c r="F1" s="5" t="s">
        <v>12</v>
      </c>
      <c r="G1" s="5" t="s">
        <v>13</v>
      </c>
      <c r="H1" s="5" t="s">
        <v>15</v>
      </c>
      <c r="I1" s="6" t="s">
        <v>16</v>
      </c>
    </row>
    <row r="2" spans="1:12">
      <c r="A2" s="1">
        <v>52</v>
      </c>
      <c r="B2" s="1">
        <v>20</v>
      </c>
      <c r="C2" s="1">
        <v>65</v>
      </c>
      <c r="D2" s="2" t="s">
        <v>4</v>
      </c>
      <c r="E2" s="5">
        <f>$B$9*A2+$B$10*B2+$B$11*C2+$B$12</f>
        <v>-0.10500000000000043</v>
      </c>
      <c r="F2" s="5">
        <f>1/(1+EXP(-E2))</f>
        <v>0.47377409062793119</v>
      </c>
      <c r="G2" s="5">
        <f>1-F2</f>
        <v>0.52622590937206881</v>
      </c>
      <c r="H2" s="5">
        <f>IF(G2&gt;=$B$15,1,0)</f>
        <v>1</v>
      </c>
      <c r="I2" s="7">
        <v>1</v>
      </c>
    </row>
    <row r="3" spans="1:12">
      <c r="A3" s="1">
        <v>50</v>
      </c>
      <c r="B3" s="1">
        <v>18</v>
      </c>
      <c r="C3" s="1">
        <v>68</v>
      </c>
      <c r="D3" s="2" t="s">
        <v>4</v>
      </c>
      <c r="E3" s="5">
        <f t="shared" ref="E3:E7" si="0">$B$9*A3+$B$10*B3+$B$11*C3+$B$12</f>
        <v>-4.9999999999998934E-3</v>
      </c>
      <c r="F3" s="5">
        <f t="shared" ref="F3:F7" si="1">1/(1+EXP(-E3))</f>
        <v>0.49875000260416025</v>
      </c>
      <c r="G3" s="5">
        <f t="shared" ref="G3:G7" si="2">1-F3</f>
        <v>0.50124999739583975</v>
      </c>
      <c r="H3" s="5">
        <f t="shared" ref="H3:H7" si="3">IF(G3&gt;=$B$15,1,0)</f>
        <v>1</v>
      </c>
      <c r="I3" s="7">
        <v>1</v>
      </c>
    </row>
    <row r="4" spans="1:12">
      <c r="A4" s="1">
        <v>48</v>
      </c>
      <c r="B4" s="1">
        <v>19</v>
      </c>
      <c r="C4" s="1">
        <v>61</v>
      </c>
      <c r="D4" s="2" t="s">
        <v>4</v>
      </c>
      <c r="E4" s="5">
        <f t="shared" si="0"/>
        <v>-0.4300000000000006</v>
      </c>
      <c r="F4" s="5">
        <f t="shared" si="1"/>
        <v>0.39412633156823929</v>
      </c>
      <c r="G4" s="5">
        <f t="shared" si="2"/>
        <v>0.60587366843176071</v>
      </c>
      <c r="H4" s="5">
        <f t="shared" si="3"/>
        <v>1</v>
      </c>
      <c r="I4" s="7">
        <v>1</v>
      </c>
    </row>
    <row r="5" spans="1:12">
      <c r="A5" s="1">
        <v>40</v>
      </c>
      <c r="B5" s="1">
        <v>17</v>
      </c>
      <c r="C5" s="1">
        <v>85</v>
      </c>
      <c r="D5" s="2" t="s">
        <v>5</v>
      </c>
      <c r="E5" s="5">
        <f t="shared" si="0"/>
        <v>0.83999999999999986</v>
      </c>
      <c r="F5" s="5">
        <f t="shared" si="1"/>
        <v>0.69846521600253875</v>
      </c>
      <c r="G5" s="5">
        <f t="shared" si="2"/>
        <v>0.30153478399746125</v>
      </c>
      <c r="H5" s="5">
        <f t="shared" si="3"/>
        <v>0</v>
      </c>
      <c r="I5" s="7">
        <v>1</v>
      </c>
    </row>
    <row r="6" spans="1:12">
      <c r="A6" s="1">
        <v>44</v>
      </c>
      <c r="B6" s="1">
        <v>22</v>
      </c>
      <c r="C6" s="1">
        <v>68</v>
      </c>
      <c r="D6" s="2" t="s">
        <v>5</v>
      </c>
      <c r="E6" s="5">
        <f t="shared" si="0"/>
        <v>4.9999999999998934E-3</v>
      </c>
      <c r="F6" s="5">
        <f t="shared" si="1"/>
        <v>0.50124999739583986</v>
      </c>
      <c r="G6" s="5">
        <f t="shared" si="2"/>
        <v>0.49875000260416014</v>
      </c>
      <c r="H6" s="5">
        <f t="shared" si="3"/>
        <v>0</v>
      </c>
      <c r="I6" s="7">
        <v>1</v>
      </c>
    </row>
    <row r="7" spans="1:12">
      <c r="A7" s="1">
        <v>48</v>
      </c>
      <c r="B7" s="1">
        <v>18</v>
      </c>
      <c r="C7" s="1">
        <v>83</v>
      </c>
      <c r="D7" s="2" t="s">
        <v>5</v>
      </c>
      <c r="E7" s="5">
        <f t="shared" si="0"/>
        <v>0.86499999999999932</v>
      </c>
      <c r="F7" s="5">
        <f t="shared" si="1"/>
        <v>0.70370423799977044</v>
      </c>
      <c r="G7" s="5">
        <f t="shared" si="2"/>
        <v>0.29629576200022956</v>
      </c>
      <c r="H7" s="5">
        <f t="shared" si="3"/>
        <v>0</v>
      </c>
      <c r="I7" s="7">
        <v>1</v>
      </c>
    </row>
    <row r="8" spans="1:12">
      <c r="I8">
        <f>SUM(I2:I7)</f>
        <v>6</v>
      </c>
    </row>
    <row r="9" spans="1:12">
      <c r="A9" s="3" t="s">
        <v>8</v>
      </c>
      <c r="B9" s="4">
        <v>1.4999999999999999E-2</v>
      </c>
      <c r="H9" t="s">
        <v>17</v>
      </c>
      <c r="I9">
        <f>I8/6</f>
        <v>1</v>
      </c>
    </row>
    <row r="10" spans="1:12">
      <c r="A10" s="3" t="s">
        <v>6</v>
      </c>
      <c r="B10" s="4">
        <v>2.5000000000000001E-2</v>
      </c>
    </row>
    <row r="11" spans="1:12">
      <c r="A11" s="3" t="s">
        <v>7</v>
      </c>
      <c r="B11" s="4">
        <v>0.06</v>
      </c>
    </row>
    <row r="12" spans="1:12">
      <c r="A12" s="3" t="s">
        <v>9</v>
      </c>
      <c r="B12" s="3">
        <v>-5.2850000000000001</v>
      </c>
      <c r="H12" t="s">
        <v>18</v>
      </c>
      <c r="I12">
        <v>50</v>
      </c>
      <c r="K12" t="s">
        <v>18</v>
      </c>
      <c r="L12">
        <v>55</v>
      </c>
    </row>
    <row r="13" spans="1:12">
      <c r="H13" t="s">
        <v>19</v>
      </c>
      <c r="I13">
        <v>21</v>
      </c>
      <c r="K13" t="s">
        <v>19</v>
      </c>
      <c r="L13">
        <v>18</v>
      </c>
    </row>
    <row r="14" spans="1:12">
      <c r="A14" t="s">
        <v>10</v>
      </c>
      <c r="B14">
        <f>B9+B10+B11</f>
        <v>0.1</v>
      </c>
      <c r="H14" t="s">
        <v>20</v>
      </c>
      <c r="I14">
        <v>70</v>
      </c>
      <c r="K14" t="s">
        <v>20</v>
      </c>
      <c r="L14">
        <v>54</v>
      </c>
    </row>
    <row r="15" spans="1:12">
      <c r="A15" t="s">
        <v>14</v>
      </c>
      <c r="B15">
        <v>0.5</v>
      </c>
    </row>
    <row r="16" spans="1:12">
      <c r="H16" t="s">
        <v>11</v>
      </c>
      <c r="I16">
        <f>I12*B9+I13*B10+I14*B11+B12</f>
        <v>0.1899999999999995</v>
      </c>
      <c r="K16" t="s">
        <v>11</v>
      </c>
      <c r="L16">
        <f>L12*B9+L13*B10+L14*B11+B12</f>
        <v>-0.77000000000000046</v>
      </c>
    </row>
    <row r="17" spans="8:12">
      <c r="H17" t="s">
        <v>12</v>
      </c>
      <c r="I17">
        <f>1/(1+EXP(-I16))</f>
        <v>0.54735761814308914</v>
      </c>
      <c r="K17" t="s">
        <v>12</v>
      </c>
      <c r="L17">
        <f>1/(1+EXP(-L16))</f>
        <v>0.31647910626368425</v>
      </c>
    </row>
    <row r="18" spans="8:12">
      <c r="H18" t="s">
        <v>15</v>
      </c>
      <c r="I18">
        <v>1</v>
      </c>
      <c r="K18" t="s">
        <v>15</v>
      </c>
      <c r="L18">
        <v>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Nikitos</dc:creator>
  <cp:lastModifiedBy>Nikitos</cp:lastModifiedBy>
  <dcterms:created xsi:type="dcterms:W3CDTF">2026-04-29T09:25:04Z</dcterms:created>
  <dcterms:modified xsi:type="dcterms:W3CDTF">2026-04-29T10:32:11Z</dcterms:modified>
</cp:coreProperties>
</file>