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anorovsv\Documents\"/>
    </mc:Choice>
  </mc:AlternateContent>
  <xr:revisionPtr revIDLastSave="0" documentId="8_{CA2BA709-5699-49B4-B050-A9C77DDF4D63}" xr6:coauthVersionLast="47" xr6:coauthVersionMax="47" xr10:uidLastSave="{00000000-0000-0000-0000-000000000000}"/>
  <bookViews>
    <workbookView xWindow="28680" yWindow="-120" windowWidth="29040" windowHeight="15840" xr2:uid="{3A7D4B08-CB11-4711-AB1D-DFED17E595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E3" i="1"/>
  <c r="F3" i="1" s="1"/>
  <c r="G3" i="1" s="1"/>
  <c r="E2" i="1"/>
  <c r="F2" i="1" s="1"/>
  <c r="G2" i="1" s="1"/>
  <c r="H2" i="1" s="1"/>
</calcChain>
</file>

<file path=xl/sharedStrings.xml><?xml version="1.0" encoding="utf-8"?>
<sst xmlns="http://schemas.openxmlformats.org/spreadsheetml/2006/main" count="21" uniqueCount="18">
  <si>
    <t>Длина хвоста X1</t>
  </si>
  <si>
    <t>Длина усов X2</t>
  </si>
  <si>
    <t>Ответ Y</t>
  </si>
  <si>
    <t>К = 1</t>
  </si>
  <si>
    <t>С = 0</t>
  </si>
  <si>
    <t xml:space="preserve">К = 1 </t>
  </si>
  <si>
    <t>Длина туловища X3</t>
  </si>
  <si>
    <t>w1</t>
  </si>
  <si>
    <t>w2</t>
  </si>
  <si>
    <t>w3</t>
  </si>
  <si>
    <t>(Доля, важность)</t>
  </si>
  <si>
    <t>b(смещение)</t>
  </si>
  <si>
    <t>SumW</t>
  </si>
  <si>
    <t>Z</t>
  </si>
  <si>
    <t>p</t>
  </si>
  <si>
    <t>q</t>
  </si>
  <si>
    <t>Порог L</t>
  </si>
  <si>
    <t>Y^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</si>
</sst>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ont="1" applyFill="1" applyBorder="1"/>
    <xf numFmtId="0" fontId="0" fillId="4" borderId="1" xfId="0" applyFill="1" applyBorder="1"/>
    <xf numFmtId="0" fontId="0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133350</xdr:rowOff>
    </xdr:from>
    <xdr:to>
      <xdr:col>4</xdr:col>
      <xdr:colOff>529982</xdr:colOff>
      <xdr:row>37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EAD17F-C623-745B-7ADB-1E23EC7C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850"/>
          <a:ext cx="5349632" cy="341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85725</xdr:rowOff>
    </xdr:from>
    <xdr:to>
      <xdr:col>11</xdr:col>
      <xdr:colOff>28575</xdr:colOff>
      <xdr:row>70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B26C6FC-0367-7D37-954E-B13596D31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4225"/>
          <a:ext cx="12392025" cy="623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82C7-BEC6-4EC0-986F-69BBC281A790}">
  <dimension ref="A1:I16"/>
  <sheetViews>
    <sheetView tabSelected="1" topLeftCell="A4" workbookViewId="0">
      <selection activeCell="C8" sqref="C8:D9"/>
    </sheetView>
  </sheetViews>
  <sheetFormatPr defaultRowHeight="15" x14ac:dyDescent="0.25"/>
  <cols>
    <col min="1" max="1" width="18.5703125" customWidth="1"/>
    <col min="2" max="2" width="18.42578125" customWidth="1"/>
    <col min="3" max="3" width="23.28515625" customWidth="1"/>
    <col min="4" max="4" width="12" customWidth="1"/>
    <col min="5" max="8" width="21.42578125" customWidth="1"/>
    <col min="9" max="9" width="9.140625" customWidth="1"/>
  </cols>
  <sheetData>
    <row r="1" spans="1:9" x14ac:dyDescent="0.25">
      <c r="A1" s="1" t="s">
        <v>0</v>
      </c>
      <c r="B1" s="1" t="s">
        <v>1</v>
      </c>
      <c r="C1" s="1" t="s">
        <v>6</v>
      </c>
      <c r="D1" s="2" t="s">
        <v>2</v>
      </c>
      <c r="E1" s="7" t="s">
        <v>13</v>
      </c>
      <c r="F1" s="7" t="s">
        <v>14</v>
      </c>
      <c r="G1" s="7" t="s">
        <v>15</v>
      </c>
      <c r="H1" s="8" t="s">
        <v>17</v>
      </c>
      <c r="I1" s="9"/>
    </row>
    <row r="2" spans="1:9" x14ac:dyDescent="0.25">
      <c r="A2" s="1">
        <v>52</v>
      </c>
      <c r="B2" s="1">
        <v>20</v>
      </c>
      <c r="C2" s="1">
        <v>65</v>
      </c>
      <c r="D2" s="2" t="s">
        <v>3</v>
      </c>
      <c r="E2" s="7">
        <f>$B10 * $A2 + $B11 * B2 + B12 * C2 + B13</f>
        <v>-0.10500000000000043</v>
      </c>
      <c r="F2" s="7">
        <f>1/(1+EXP(-E2))</f>
        <v>0.47377409062793119</v>
      </c>
      <c r="G2" s="7">
        <f>1 - $F2</f>
        <v>0.52622590937206881</v>
      </c>
      <c r="H2" s="8">
        <f>IF($G2 &gt;= $B16,1,0)</f>
        <v>1</v>
      </c>
      <c r="I2" s="9"/>
    </row>
    <row r="3" spans="1:9" x14ac:dyDescent="0.25">
      <c r="A3" s="1">
        <v>50</v>
      </c>
      <c r="B3" s="1">
        <v>18</v>
      </c>
      <c r="C3" s="1">
        <v>68</v>
      </c>
      <c r="D3" s="2" t="s">
        <v>3</v>
      </c>
      <c r="E3" s="7">
        <f>$B10 * $A3 + $B11 * $B3 + $B12 * $C3 + $B13</f>
        <v>-4.9999999999998934E-3</v>
      </c>
      <c r="F3" s="7">
        <f t="shared" ref="F3:F7" si="0">1/(1+EXP(-E3))</f>
        <v>0.49875000260416025</v>
      </c>
      <c r="G3" s="7">
        <f t="shared" ref="G3:G7" si="1">1 - $F3</f>
        <v>0.50124999739583975</v>
      </c>
      <c r="H3" s="8">
        <f>IF($G3&gt;= $B16,1,0)</f>
        <v>1</v>
      </c>
      <c r="I3" s="9"/>
    </row>
    <row r="4" spans="1:9" x14ac:dyDescent="0.25">
      <c r="A4" s="1">
        <v>48</v>
      </c>
      <c r="B4" s="1">
        <v>19</v>
      </c>
      <c r="C4" s="1">
        <v>61</v>
      </c>
      <c r="D4" s="2" t="s">
        <v>5</v>
      </c>
      <c r="E4" s="7">
        <f>$B10 * $A4 + $B11 * B4 + B12 * C4 + B13</f>
        <v>-0.4300000000000006</v>
      </c>
      <c r="F4" s="7">
        <f t="shared" si="0"/>
        <v>0.39412633156823929</v>
      </c>
      <c r="G4" s="7">
        <f t="shared" si="1"/>
        <v>0.60587366843176071</v>
      </c>
      <c r="H4" s="8">
        <f>IF($G4 &gt;= $B16,1,0)</f>
        <v>1</v>
      </c>
      <c r="I4" s="9"/>
    </row>
    <row r="5" spans="1:9" x14ac:dyDescent="0.25">
      <c r="A5" s="1">
        <v>40</v>
      </c>
      <c r="B5" s="1">
        <v>17</v>
      </c>
      <c r="C5" s="1">
        <v>85</v>
      </c>
      <c r="D5" s="2" t="s">
        <v>4</v>
      </c>
      <c r="E5" s="7">
        <f>$B10 * $A5 + $B11 * B5 + B12 * C5 + B13</f>
        <v>0.83999999999999986</v>
      </c>
      <c r="F5" s="7">
        <f t="shared" si="0"/>
        <v>0.69846521600253875</v>
      </c>
      <c r="G5" s="7">
        <f t="shared" si="1"/>
        <v>0.30153478399746125</v>
      </c>
      <c r="H5" s="8">
        <f>IF($G5 &gt;= $B16,1,0)</f>
        <v>0</v>
      </c>
      <c r="I5" s="9"/>
    </row>
    <row r="6" spans="1:9" x14ac:dyDescent="0.25">
      <c r="A6" s="1">
        <v>44</v>
      </c>
      <c r="B6" s="1">
        <v>22</v>
      </c>
      <c r="C6" s="1">
        <v>68</v>
      </c>
      <c r="D6" s="2" t="s">
        <v>4</v>
      </c>
      <c r="E6" s="7">
        <f>$B10 * $A6 + $B11 * $B6 + $B12 * $C6 + $B13</f>
        <v>4.9999999999998934E-3</v>
      </c>
      <c r="F6" s="7">
        <f t="shared" si="0"/>
        <v>0.50124999739583986</v>
      </c>
      <c r="G6" s="7">
        <f t="shared" si="1"/>
        <v>0.49875000260416014</v>
      </c>
      <c r="H6" s="8">
        <f>IF($G6 &gt;= $B16,1,0)</f>
        <v>0</v>
      </c>
      <c r="I6" s="9"/>
    </row>
    <row r="7" spans="1:9" x14ac:dyDescent="0.25">
      <c r="A7" s="1">
        <v>48</v>
      </c>
      <c r="B7" s="1">
        <v>18</v>
      </c>
      <c r="C7" s="1">
        <v>83</v>
      </c>
      <c r="D7" s="2" t="s">
        <v>4</v>
      </c>
      <c r="E7" s="7">
        <f>$B10 * $A7 + $B11 * B7 + B12 * C7 + B13</f>
        <v>0.86499999999999932</v>
      </c>
      <c r="F7" s="7">
        <f t="shared" si="0"/>
        <v>0.70370423799977044</v>
      </c>
      <c r="G7" s="7">
        <f t="shared" si="1"/>
        <v>0.29629576200022956</v>
      </c>
      <c r="H7" s="8">
        <f>IF($G7 &gt;= $B16,1,0)</f>
        <v>0</v>
      </c>
      <c r="I7" s="9"/>
    </row>
    <row r="8" spans="1:9" x14ac:dyDescent="0.25">
      <c r="A8" s="3"/>
      <c r="B8" s="3"/>
      <c r="C8" s="3"/>
      <c r="D8" s="4"/>
      <c r="I8" s="9"/>
    </row>
    <row r="9" spans="1:9" x14ac:dyDescent="0.25">
      <c r="A9" s="5" t="s">
        <v>10</v>
      </c>
      <c r="B9" s="5"/>
      <c r="C9" s="3"/>
      <c r="D9" s="4"/>
    </row>
    <row r="10" spans="1:9" x14ac:dyDescent="0.25">
      <c r="A10" s="5" t="s">
        <v>7</v>
      </c>
      <c r="B10" s="6">
        <v>1.4999999999999999E-2</v>
      </c>
    </row>
    <row r="11" spans="1:9" x14ac:dyDescent="0.25">
      <c r="A11" s="5" t="s">
        <v>8</v>
      </c>
      <c r="B11" s="6">
        <v>2.5000000000000001E-2</v>
      </c>
    </row>
    <row r="12" spans="1:9" x14ac:dyDescent="0.25">
      <c r="A12" s="5" t="s">
        <v>9</v>
      </c>
      <c r="B12" s="6">
        <v>0.06</v>
      </c>
    </row>
    <row r="13" spans="1:9" x14ac:dyDescent="0.25">
      <c r="A13" s="5" t="s">
        <v>11</v>
      </c>
      <c r="B13" s="5">
        <v>-5.2850000000000001</v>
      </c>
    </row>
    <row r="14" spans="1:9" x14ac:dyDescent="0.25">
      <c r="A14" s="5"/>
      <c r="B14" s="5"/>
    </row>
    <row r="15" spans="1:9" x14ac:dyDescent="0.25">
      <c r="A15" s="5" t="s">
        <v>12</v>
      </c>
      <c r="B15" s="5">
        <v>0.1</v>
      </c>
    </row>
    <row r="16" spans="1:9" x14ac:dyDescent="0.25">
      <c r="A16" s="5" t="s">
        <v>16</v>
      </c>
      <c r="B16" s="5">
        <v>0.5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Никаноров Сергей Викторович</dc:creator>
  <cp:lastModifiedBy>Никаноров Сергей Викторович</cp:lastModifiedBy>
  <dcterms:created xsi:type="dcterms:W3CDTF">2026-04-29T09:25:27Z</dcterms:created>
  <dcterms:modified xsi:type="dcterms:W3CDTF">2026-04-29T10:32:34Z</dcterms:modified>
</cp:coreProperties>
</file>